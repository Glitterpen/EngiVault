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118d2c30d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R Summary" sheetId="1" r:id="Reee79c7ffce24993"/>
    <x:sheet xmlns:r="http://schemas.openxmlformats.org/officeDocument/2006/relationships" name="CTR Detail" sheetId="2" r:id="Rfed1cff243324eb8"/>
    <x:sheet xmlns:r="http://schemas.openxmlformats.org/officeDocument/2006/relationships" name="Resource Plan" sheetId="3" r:id="Rc352103a1db44303"/>
    <x:sheet xmlns:r="http://schemas.openxmlformats.org/officeDocument/2006/relationships" name="Weekly Plan" sheetId="4" r:id="R766841b85cff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#,##0"/>
    <x:numFmt numFmtId="202" formatCode="0.0%"/>
    <x:numFmt numFmtId="203" formatCode="0.0"/>
    <x:numFmt numFmtId="204" formatCode="$#,##0.00"/>
  </x:numFmts>
  <x:fonts count="1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0C5B45"/>
      <x:name val="Carlito"/>
    </x:font>
    <x:font>
      <x:sz val="11"/>
      <x:color rgb="FF23374D"/>
      <x:name val="Carlito"/>
    </x:font>
    <x:font>
      <x:b/>
      <x:sz val="11"/>
      <x:color rgb="FF10243E"/>
      <x:name val="Carlito"/>
    </x:font>
    <x:font>
      <x:b/>
      <x:sz val="11"/>
      <x:color rgb="FFFFFFFF"/>
      <x:name val="Aptos"/>
    </x:font>
    <x:font>
      <x:i/>
      <x:sz val="11"/>
      <x:color rgb="FF0C5B45"/>
      <x:name val="Aptos"/>
    </x:font>
    <x:font>
      <x:sz val="11"/>
      <x:name val="Aptos"/>
    </x:font>
    <x:font>
      <x:sz val="11"/>
      <x:color rgb="FF23374D"/>
      <x:name val="Aptos"/>
    </x:font>
    <x:font>
      <x:b/>
      <x:sz val="11"/>
      <x:color rgb="FF10243E"/>
      <x:name val="Aptos"/>
    </x:font>
    <x:font>
      <x:b/>
      <x:sz val="11"/>
      <x:color rgb="FF23374D"/>
      <x:name val="Carlito"/>
    </x:font>
    <x:font>
      <x:b/>
      <x:sz val="11"/>
      <x:color rgb="FF0C5B45"/>
      <x:name val="Carlito"/>
    </x:font>
    <x:font>
      <x:b/>
      <x:sz val="11"/>
      <x:color rgb="FFF2773D"/>
      <x:name val="Carlito"/>
    </x:font>
    <x:font>
      <x:b/>
      <x:sz val="11"/>
      <x:color rgb="FF23374D"/>
      <x:name val="Aptos"/>
    </x:font>
    <x:font>
      <x:b/>
      <x:sz val="11"/>
      <x:color rgb="FF0C5B45"/>
      <x:name val="Aptos"/>
    </x:font>
    <x:font>
      <x:b/>
      <x:sz val="11"/>
      <x:color rgb="FFF2773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F1F7F4"/>
      </x:patternFill>
    </x:fill>
    <x:fill>
      <x:patternFill patternType="solid">
        <x:fgColor rgb="FF0C5B45"/>
      </x:patternFill>
    </x:fill>
    <x:fill>
      <x:patternFill patternType="solid">
        <x:fgColor rgb="FFFFF2EA"/>
      </x:patternFill>
    </x:fill>
    <x:fill>
      <x:patternFill patternType="solid">
        <x:fgColor rgb="FFF5F7FA"/>
      </x:patternFill>
    </x:fill>
    <x:fill>
      <x:patternFill patternType="solid">
        <x:fgColor rgb="FFF2773D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DCE6E1"/>
      </x:bottom>
    </x:border>
    <x:border>
      <x:top style="thin">
        <x:color rgb="FFDCE6E1"/>
      </x:top>
      <x:bottom style="thin">
        <x:color rgb="FFDCE6E1"/>
      </x:bottom>
    </x:border>
    <x:border>
      <x:top style="thin">
        <x:color rgb="FFDCE6E1"/>
      </x:top>
    </x:border>
    <x:border>
      <x:top style="medium">
        <x:color rgb="FFF2773D"/>
      </x:top>
      <x:bottom style="double">
        <x:color rgb="FFF2773D"/>
      </x:bottom>
    </x:border>
    <x:border>
      <x:left style="thin">
        <x:color rgb="FFDCE6E1"/>
      </x:left>
      <x:right style="thin">
        <x:color rgb="FFDCE6E1"/>
      </x:right>
      <x:top style="thin">
        <x:color rgb="FFDCE6E1"/>
      </x:top>
      <x:bottom style="thin">
        <x:color rgb="FFDCE6E1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3" fillId="0" borderId="1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/>
    <x:xf numFmtId="202" fontId="3" fillId="0" borderId="1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2" fontId="4" fillId="5" borderId="4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200" fontId="8" fillId="0" borderId="2" xfId="0" applyNumberFormat="1" applyFont="1" applyFill="1" applyBorder="1" applyAlignment="1">
      <x:alignment vertical="center" wrapText="1"/>
    </x:xf>
    <x:xf numFmtId="201" fontId="8" fillId="0" borderId="2" xfId="0" applyNumberFormat="1" applyFont="1" applyFill="1" applyBorder="1" applyAlignment="1">
      <x:alignment vertical="center" wrapText="1"/>
    </x:xf>
    <x:xf numFmtId="202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0" fontId="8" fillId="0" borderId="3" xfId="0" applyNumberFormat="1" applyFont="1" applyFill="1" applyBorder="1" applyAlignment="1">
      <x:alignment vertical="center" wrapText="1"/>
    </x:xf>
    <x:xf numFmtId="201" fontId="8" fillId="0" borderId="3" xfId="0" applyNumberFormat="1" applyFont="1" applyFill="1" applyBorder="1" applyAlignment="1">
      <x:alignment vertical="center" wrapText="1"/>
    </x:xf>
    <x:xf numFmtId="202" fontId="8" fillId="0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/>
    <x:xf numFmtId="200" fontId="9" fillId="5" borderId="4" xfId="0" applyNumberFormat="1" applyFont="1" applyFill="1" applyBorder="1"/>
    <x:xf numFmtId="201" fontId="9" fillId="5" borderId="4" xfId="0" applyNumberFormat="1" applyFont="1" applyFill="1" applyBorder="1"/>
    <x:xf numFmtId="202" fontId="9" fillId="5" borderId="4" xfId="0" applyNumberFormat="1" applyFont="1" applyFill="1" applyBorder="1"/>
    <x:xf numFmtId="203" fontId="3" fillId="0" borderId="1" xfId="0" applyNumberFormat="1" applyFont="1" applyFill="1" applyBorder="1" applyAlignment="1">
      <x:alignment vertical="center" wrapText="1"/>
    </x:xf>
    <x:xf numFmtId="203" fontId="3" fillId="0" borderId="2" xfId="0" applyNumberFormat="1" applyFont="1" applyFill="1" applyBorder="1" applyAlignment="1">
      <x:alignment vertical="center" wrapText="1"/>
    </x:xf>
    <x:xf numFmtId="203" fontId="3" fillId="0" borderId="3" xfId="0" applyNumberFormat="1" applyFont="1" applyFill="1" applyBorder="1" applyAlignment="1">
      <x:alignment vertical="center" wrapText="1"/>
    </x:xf>
    <x:xf numFmtId="203" fontId="4" fillId="5" borderId="4" xfId="0" applyNumberFormat="1" applyFont="1" applyFill="1" applyBorder="1"/>
    <x:xf numFmtId="203" fontId="8" fillId="0" borderId="1" xfId="0" applyNumberFormat="1" applyFont="1" applyFill="1" applyBorder="1" applyAlignment="1">
      <x:alignment vertical="center" wrapText="1"/>
    </x:xf>
    <x:xf numFmtId="203" fontId="8" fillId="0" borderId="2" xfId="0" applyNumberFormat="1" applyFont="1" applyFill="1" applyBorder="1" applyAlignment="1">
      <x:alignment vertical="center" wrapText="1"/>
    </x:xf>
    <x:xf numFmtId="203" fontId="8" fillId="0" borderId="3" xfId="0" applyNumberFormat="1" applyFont="1" applyFill="1" applyBorder="1" applyAlignment="1">
      <x:alignment vertical="center" wrapText="1"/>
    </x:xf>
    <x:xf numFmtId="203" fontId="9" fillId="5" borderId="4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5" xfId="0" applyNumberFormat="1" applyFont="1" applyFill="1" applyBorder="1"/>
    <x:xf numFmtId="0" fontId="3" fillId="4" borderId="5" xfId="0" applyNumberFormat="1" applyFont="1" applyFill="1" applyBorder="1"/>
    <x:xf numFmtId="0" fontId="1" fillId="4" borderId="5" xfId="0" applyNumberFormat="1" applyFont="1" applyFill="1" applyBorder="1"/>
    <x:xf numFmtId="200" fontId="3" fillId="6" borderId="5" xfId="0" applyNumberFormat="1" applyFont="1" applyFill="1" applyBorder="1"/>
    <x:xf numFmtId="0" fontId="5" fillId="4" borderId="5" xfId="0" applyNumberFormat="1" applyFont="1" applyFill="1" applyBorder="1"/>
    <x:xf numFmtId="0" fontId="8" fillId="6" borderId="5" xfId="0" applyNumberFormat="1" applyFont="1" applyFill="1" applyBorder="1"/>
    <x:xf numFmtId="200" fontId="8" fillId="6" borderId="5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200" fontId="10" fillId="0" borderId="1" xfId="0" applyNumberFormat="1" applyFont="1" applyFill="1" applyBorder="1"/>
    <x:xf numFmtId="200" fontId="10" fillId="0" borderId="2" xfId="0" applyNumberFormat="1" applyFont="1" applyFill="1" applyBorder="1"/>
    <x:xf numFmtId="201" fontId="10" fillId="0" borderId="2" xfId="0" applyNumberFormat="1" applyFont="1" applyFill="1" applyBorder="1"/>
    <x:xf numFmtId="204" fontId="10" fillId="0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2" fontId="3" fillId="0" borderId="1" xfId="0" applyNumberFormat="1" applyFont="1" applyFill="1" applyBorder="1"/>
    <x:xf numFmtId="202" fontId="3" fillId="0" borderId="2" xfId="0" applyNumberFormat="1" applyFont="1" applyFill="1" applyBorder="1"/>
    <x:xf numFmtId="202" fontId="3" fillId="0" borderId="3" xfId="0" applyNumberFormat="1" applyFont="1" applyFill="1" applyBorder="1"/>
    <x:xf numFmtId="204" fontId="10" fillId="0" borderId="1" xfId="0" applyNumberFormat="1" applyFont="1" applyFill="1" applyBorder="1"/>
    <x:xf numFmtId="0" fontId="10" fillId="3" borderId="3" xfId="0" applyNumberFormat="1" applyFont="1" applyFill="1" applyBorder="1"/>
    <x:xf numFmtId="0" fontId="11" fillId="3" borderId="3" xfId="0" applyNumberFormat="1" applyFont="1" applyFill="1" applyBorder="1"/>
    <x:xf numFmtId="0" fontId="11" fillId="3" borderId="3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2" xfId="0" applyNumberFormat="1" applyFont="1" applyFill="1" applyBorder="1"/>
    <x:xf numFmtId="0" fontId="12" fillId="5" borderId="3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2" xfId="0" applyNumberFormat="1" applyFont="1" applyFill="1" applyBorder="1" applyAlignment="1">
      <x:alignment horizontal="center"/>
    </x:xf>
    <x:xf numFmtId="0" fontId="12" fillId="5" borderId="3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top"/>
    </x:xf>
    <x:xf numFmtId="0" fontId="12" fillId="5" borderId="2" xfId="0" applyNumberFormat="1" applyFont="1" applyFill="1" applyBorder="1" applyAlignment="1">
      <x:alignment horizontal="center" vertical="top"/>
    </x:xf>
    <x:xf numFmtId="0" fontId="12" fillId="5" borderId="3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5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9" fillId="6" borderId="1" xfId="0" applyNumberFormat="1" applyFont="1" applyFill="1" applyBorder="1"/>
    <x:xf numFmtId="0" fontId="8" fillId="0" borderId="1" xfId="0" applyNumberFormat="1" applyFont="1" applyFill="1" applyBorder="1"/>
    <x:xf numFmtId="200" fontId="13" fillId="0" borderId="1" xfId="0" applyNumberFormat="1" applyFont="1" applyFill="1" applyBorder="1"/>
    <x:xf numFmtId="0" fontId="9" fillId="6" borderId="2" xfId="0" applyNumberFormat="1" applyFont="1" applyFill="1" applyBorder="1"/>
    <x:xf numFmtId="0" fontId="8" fillId="0" borderId="2" xfId="0" applyNumberFormat="1" applyFont="1" applyFill="1" applyBorder="1"/>
    <x:xf numFmtId="200" fontId="13" fillId="0" borderId="2" xfId="0" applyNumberFormat="1" applyFont="1" applyFill="1" applyBorder="1"/>
    <x:xf numFmtId="201" fontId="13" fillId="0" borderId="2" xfId="0" applyNumberFormat="1" applyFont="1" applyFill="1" applyBorder="1"/>
    <x:xf numFmtId="204" fontId="13" fillId="0" borderId="2" xfId="0" applyNumberFormat="1" applyFont="1" applyFill="1" applyBorder="1"/>
    <x:xf numFmtId="0" fontId="9" fillId="6" borderId="3" xfId="0" applyNumberFormat="1" applyFont="1" applyFill="1" applyBorder="1"/>
    <x:xf numFmtId="0" fontId="8" fillId="0" borderId="3" xfId="0" applyNumberFormat="1" applyFont="1" applyFill="1" applyBorder="1"/>
    <x:xf numFmtId="0" fontId="13" fillId="0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4" fontId="13" fillId="0" borderId="1" xfId="0" applyNumberFormat="1" applyFont="1" applyFill="1" applyBorder="1"/>
    <x:xf numFmtId="200" fontId="8" fillId="0" borderId="1" xfId="0" applyNumberFormat="1" applyFont="1" applyFill="1" applyBorder="1"/>
    <x:xf numFmtId="202" fontId="8" fillId="0" borderId="1" xfId="0" applyNumberFormat="1" applyFont="1" applyFill="1" applyBorder="1"/>
    <x:xf numFmtId="200" fontId="8" fillId="0" borderId="2" xfId="0" applyNumberFormat="1" applyFont="1" applyFill="1" applyBorder="1"/>
    <x:xf numFmtId="202" fontId="8" fillId="0" borderId="2" xfId="0" applyNumberFormat="1" applyFont="1" applyFill="1" applyBorder="1"/>
    <x:xf numFmtId="0" fontId="14" fillId="3" borderId="3" xfId="0" applyNumberFormat="1" applyFont="1" applyFill="1" applyBorder="1" applyAlignment="1">
      <x:alignment horizontal="center"/>
    </x:xf>
    <x:xf numFmtId="200" fontId="8" fillId="0" borderId="3" xfId="0" applyNumberFormat="1" applyFont="1" applyFill="1" applyBorder="1"/>
    <x:xf numFmtId="202" fontId="8" fillId="0" borderId="3" xfId="0" applyNumberFormat="1" applyFont="1" applyFill="1" applyBorder="1"/>
    <x:xf numFmtId="0" fontId="15" fillId="5" borderId="1" xfId="0" applyNumberFormat="1" applyFont="1" applyFill="1" applyBorder="1" applyAlignment="1">
      <x:alignment horizontal="center" vertical="top"/>
    </x:xf>
    <x:xf numFmtId="0" fontId="8" fillId="0" borderId="1" xfId="0" applyNumberFormat="1" applyFont="1" applyFill="1" applyBorder="1" applyAlignment="1">
      <x:alignment vertical="top" wrapText="1"/>
    </x:xf>
    <x:xf numFmtId="0" fontId="15" fillId="5" borderId="2" xfId="0" applyNumberFormat="1" applyFont="1" applyFill="1" applyBorder="1" applyAlignment="1">
      <x:alignment horizontal="center" vertical="top"/>
    </x:xf>
    <x:xf numFmtId="0" fontId="8" fillId="0" borderId="2" xfId="0" applyNumberFormat="1" applyFont="1" applyFill="1" applyBorder="1" applyAlignment="1">
      <x:alignment vertical="top" wrapText="1"/>
    </x:xf>
    <x:xf numFmtId="0" fontId="15" fillId="5" borderId="3" xfId="0" applyNumberFormat="1" applyFont="1" applyFill="1" applyBorder="1" applyAlignment="1">
      <x:alignment horizontal="center" vertical="top"/>
    </x:xf>
    <x:xf numFmtId="0" fontId="8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7" fillId="8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5b405818d419e" /><Relationship Type="http://schemas.openxmlformats.org/officeDocument/2006/relationships/theme" Target="/xl/theme/theme1.xml" Id="R17889dc8ab2f4081" /><Relationship Type="http://schemas.openxmlformats.org/officeDocument/2006/relationships/sharedStrings" Target="/xl/sharedStrings.xml" Id="Rf0f8e300714448fd" /><Relationship Type="http://schemas.openxmlformats.org/officeDocument/2006/relationships/worksheet" Target="/xl/worksheets/sheet1.xml" Id="Reee79c7ffce24993" /><Relationship Type="http://schemas.openxmlformats.org/officeDocument/2006/relationships/worksheet" Target="/xl/worksheets/sheet2.xml" Id="Rfed1cff243324eb8" /><Relationship Type="http://schemas.openxmlformats.org/officeDocument/2006/relationships/worksheet" Target="/xl/worksheets/sheet3.xml" Id="Rc352103a1db44303" /><Relationship Type="http://schemas.openxmlformats.org/officeDocument/2006/relationships/worksheet" Target="/xl/worksheets/sheet4.xml" Id="R766841b85cff49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f9a8487f6344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and Cumulative Commercial Curve (USD)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Weekly Cost</c:v>
          </c:tx>
          <c:marker>
            <c:symbol val="none"/>
          </c:marker>
          <c:cat>
            <c:strRef>
              <c:f>'Weekly Plan'!$H$5:$H$10</c:f>
              <c:strCache>
                <c:ptCount val="0"/>
              </c:strCache>
            </c:strRef>
          </c:cat>
          <c:val>
            <c:numRef>
              <c:f>'Weekly Plan'!$I$5:$I$10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Cumulative Cost</c:v>
          </c:tx>
          <c:marker>
            <c:symbol val="none"/>
          </c:marker>
          <c:cat>
            <c:strRef>
              <c:f>'Weekly Plan'!$H$5:$H$10</c:f>
              <c:strCache>
                <c:ptCount val="0"/>
              </c:strCache>
            </c:strRef>
          </c:cat>
          <c:val>
            <c:numRef>
              <c:f>'Weekly Plan'!$J$5:$J$10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ax val="30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f9a8487f6344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TRDetailTable" displayName="CTRDetailTable" ref="A5:I19" headerRowCount="1" totalsRowCount="0" totalsRowShown="0">
  <x:tableColumns count="9">
    <x:tableColumn id="1" name="Code"/>
    <x:tableColumn id="2" name="Deliverable"/>
    <x:tableColumn id="3" name="Due Week"/>
    <x:tableColumn id="4" name="Lead Resource"/>
    <x:tableColumn id="5" name="Complexity"/>
    <x:tableColumn id="6" name="Cost Allocation (USD)"/>
    <x:tableColumn id="7" name="Budget Share"/>
    <x:tableColumn id="8" name="Equivalent Hours"/>
    <x:tableColumn id="9" name="Deliverable / Acceptance Basi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ResourcePlanTable" displayName="ResourcePlanTable" ref="A5:F15" headerRowCount="1" totalsRowCount="0" totalsRowShown="0">
  <x:tableColumns count="6">
    <x:tableColumn id="1" name="Role"/>
    <x:tableColumn id="2" name="Rate (USD/hr)"/>
    <x:tableColumn id="3" name="Planned Hours"/>
    <x:tableColumn id="4" name="Cost (USD)"/>
    <x:tableColumn id="5" name="Cost Share"/>
    <x:tableColumn id="6" name="Primary Responsibility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WeeklyPlanTable" displayName="WeeklyPlanTable" ref="A4:F10" headerRowCount="1" totalsRowCount="0" totalsRowShown="0">
  <x:tableColumns count="6">
    <x:tableColumn id="1" name="Week"/>
    <x:tableColumn id="2" name="Milestone Objective"/>
    <x:tableColumn id="3" name="Deliverables Due"/>
    <x:tableColumn id="4" name="Weekly Allocation"/>
    <x:tableColumn id="5" name="Cumulative Allocation"/>
    <x:tableColumn id="6" name="Cumulative %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f5c1ff2b5645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5bc05e5d9446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2ecf3c9b6154e6e" /><Relationship Type="http://schemas.openxmlformats.org/officeDocument/2006/relationships/table" Target="/xl/tables/table3.xml" Id="Rd5973c9f6ca34a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8" hidden="0" customWidth="1"/>
    <x:col min="4" max="4" width="20" hidden="0" customWidth="1"/>
    <x:col min="5" max="5" width="17" hidden="0" customWidth="1"/>
    <x:col min="6" max="6" width="17" hidden="0" customWidth="1"/>
    <x:col min="7" max="7" width="16" hidden="0" customWidth="1"/>
    <x:col min="8" max="8" width="19" hidden="0" customWidth="1"/>
  </x:cols>
  <x:sheetData>
    <x:row r="1">
      <x:c r="A1" s="36" t="str">
        <x:v>CTR – CONCEPT SCREENING &amp; PRELIMINARY STRUCTURAL STUDY</x:v>
      </x:c>
      <x:c r="B1" s="36"/>
      <x:c r="C1" s="36"/>
      <x:c r="D1" s="36"/>
      <x:c r="E1" s="36"/>
      <x:c r="F1" s="36"/>
      <x:c r="G1" s="36"/>
      <x:c r="H1" s="36"/>
    </x:row>
    <x:row r="2">
      <x:c r="A2" s="36"/>
      <x:c r="B2" s="36"/>
      <x:c r="C2" s="36"/>
      <x:c r="D2" s="36"/>
      <x:c r="E2" s="36"/>
      <x:c r="F2" s="36"/>
      <x:c r="G2" s="36"/>
      <x:c r="H2" s="36"/>
    </x:row>
    <x:row r="3">
      <x:c r="A3" s="115" t="str">
        <x:v>Cost · Time · Resource Basis | Budgetary Issue – Rev 0</x:v>
      </x:c>
      <x:c r="B3" s="115"/>
      <x:c r="C3" s="115"/>
      <x:c r="D3" s="115"/>
      <x:c r="E3" s="115"/>
      <x:c r="F3" s="115"/>
      <x:c r="G3" s="115"/>
      <x:c r="H3" s="115"/>
    </x:row>
    <x:row r="4">
      <x:c r="A4" s="38"/>
      <x:c r="B4" s="38"/>
      <x:c r="C4" s="38"/>
      <x:c r="D4" s="38"/>
      <x:c r="E4" s="38"/>
      <x:c r="F4" s="38"/>
      <x:c r="G4" s="38"/>
      <x:c r="H4" s="38"/>
    </x:row>
    <x:row r="5">
      <x:c r="A5" s="116" t="str">
        <x:v>COMMERCIAL BASIS</x:v>
      </x:c>
      <x:c r="B5" s="116"/>
      <x:c r="C5" s="38"/>
      <x:c r="D5" s="116" t="str">
        <x:v>CONTROL TOTALS</x:v>
      </x:c>
      <x:c r="E5" s="116"/>
      <x:c r="F5" s="116"/>
      <x:c r="G5" s="116"/>
      <x:c r="H5" s="116"/>
    </x:row>
    <x:row r="6">
      <x:c r="A6" s="117" t="str">
        <x:v>Currency</x:v>
      </x:c>
      <x:c r="B6" s="118" t="str">
        <x:v>USD</x:v>
      </x:c>
      <x:c r="C6" s="38"/>
      <x:c r="D6" s="117" t="str">
        <x:v>Total Budget</x:v>
      </x:c>
      <x:c r="E6" s="117"/>
      <x:c r="F6" s="119" t="n">
        <x:f>'Resource Plan'!D16</x:f>
        <x:v>30000</x:v>
      </x:c>
      <x:c r="G6" s="119"/>
      <x:c r="H6" s="119"/>
    </x:row>
    <x:row r="7">
      <x:c r="A7" s="120" t="str">
        <x:v>Contract basis</x:v>
      </x:c>
      <x:c r="B7" s="121" t="str">
        <x:v>Lump sum</x:v>
      </x:c>
      <x:c r="C7" s="38"/>
      <x:c r="D7" s="120" t="str">
        <x:v>Commercial Check</x:v>
      </x:c>
      <x:c r="E7" s="120"/>
      <x:c r="F7" s="122" t="n">
        <x:f>'CTR Detail'!F20</x:f>
        <x:v>30000</x:v>
      </x:c>
      <x:c r="G7" s="122"/>
      <x:c r="H7" s="122"/>
    </x:row>
    <x:row r="8">
      <x:c r="A8" s="120" t="str">
        <x:v>Study duration</x:v>
      </x:c>
      <x:c r="B8" s="121" t="str">
        <x:v>6 weeks</x:v>
      </x:c>
      <x:c r="C8" s="38"/>
      <x:c r="D8" s="120" t="str">
        <x:v>Planned Hours</x:v>
      </x:c>
      <x:c r="E8" s="120"/>
      <x:c r="F8" s="123" t="n">
        <x:f>'Resource Plan'!C16</x:f>
        <x:v>242</x:v>
      </x:c>
      <x:c r="G8" s="123"/>
      <x:c r="H8" s="123"/>
    </x:row>
    <x:row r="9">
      <x:c r="A9" s="120" t="str">
        <x:v>Issue</x:v>
      </x:c>
      <x:c r="B9" s="121" t="str">
        <x:v>Budgetary CTR – Rev 0</x:v>
      </x:c>
      <x:c r="C9" s="38"/>
      <x:c r="D9" s="120" t="str">
        <x:v>Blended Rate</x:v>
      </x:c>
      <x:c r="E9" s="120"/>
      <x:c r="F9" s="124" t="n">
        <x:f>F6/F8</x:f>
        <x:v>123.96694214876032</x:v>
      </x:c>
      <x:c r="G9" s="124"/>
      <x:c r="H9" s="124"/>
    </x:row>
    <x:row r="10">
      <x:c r="A10" s="120" t="str">
        <x:v>Deliverables</x:v>
      </x:c>
      <x:c r="B10" s="121" t="n">
        <x:f>COUNTA('CTR Detail'!A6:A19)</x:f>
        <x:v>14</x:v>
      </x:c>
      <x:c r="C10" s="38"/>
      <x:c r="D10" s="120" t="str">
        <x:v>Budget Variance</x:v>
      </x:c>
      <x:c r="E10" s="120"/>
      <x:c r="F10" s="124" t="n">
        <x:f>F7-F6</x:f>
        <x:v>0</x:v>
      </x:c>
      <x:c r="G10" s="124"/>
      <x:c r="H10" s="124"/>
    </x:row>
    <x:row r="11">
      <x:c r="A11" s="125" t="str">
        <x:v>Programme basis</x:v>
      </x:c>
      <x:c r="B11" s="126" t="str">
        <x:v>NTP + complete client data</x:v>
      </x:c>
      <x:c r="C11" s="38"/>
      <x:c r="D11" s="125" t="str">
        <x:v>Deliverables</x:v>
      </x:c>
      <x:c r="E11" s="125"/>
      <x:c r="F11" s="127" t="n">
        <x:f>COUNTA('CTR Detail'!A6:A19)</x:f>
        <x:v>14</x:v>
      </x:c>
      <x:c r="G11" s="127"/>
      <x:c r="H11" s="127"/>
    </x:row>
    <x:row r="12">
      <x:c r="A12" s="38"/>
      <x:c r="B12" s="38"/>
      <x:c r="C12" s="38"/>
      <x:c r="D12" s="38"/>
      <x:c r="E12" s="38"/>
      <x:c r="F12" s="38"/>
      <x:c r="G12" s="38"/>
      <x:c r="H12" s="38"/>
    </x:row>
    <x:row r="13">
      <x:c r="A13" s="116" t="str">
        <x:v>WEEKLY COMMERCIAL CURVE</x:v>
      </x:c>
      <x:c r="B13" s="116"/>
      <x:c r="C13" s="116"/>
      <x:c r="D13" s="116"/>
      <x:c r="E13" s="116"/>
      <x:c r="F13" s="38"/>
      <x:c r="G13" s="116" t="str">
        <x:v>BUDGET CHECK</x:v>
      </x:c>
      <x:c r="H13" s="116"/>
    </x:row>
    <x:row r="14">
      <x:c r="A14" s="128" t="str">
        <x:v>Week</x:v>
      </x:c>
      <x:c r="B14" s="128" t="str">
        <x:v>Deliverables Due</x:v>
      </x:c>
      <x:c r="C14" s="128" t="str">
        <x:v>Weekly Allocation</x:v>
      </x:c>
      <x:c r="D14" s="128" t="str">
        <x:v>Cumulative Allocation</x:v>
      </x:c>
      <x:c r="E14" s="128" t="str">
        <x:v>Cumulative %</x:v>
      </x:c>
      <x:c r="F14" s="38"/>
      <x:c r="G14" s="117" t="str">
        <x:v>CTR Detail</x:v>
      </x:c>
      <x:c r="H14" s="129" t="n">
        <x:f>'CTR Detail'!F20</x:f>
        <x:v>30000</x:v>
      </x:c>
    </x:row>
    <x:row r="15">
      <x:c r="A15" s="118" t="str">
        <x:v>W1</x:v>
      </x:c>
      <x:c r="B15" s="118" t="n">
        <x:f>'Weekly Plan'!C5</x:f>
        <x:v>1</x:v>
      </x:c>
      <x:c r="C15" s="130" t="n">
        <x:f>'Weekly Plan'!D5</x:f>
        <x:v>1500</x:v>
      </x:c>
      <x:c r="D15" s="130" t="n">
        <x:f>'Weekly Plan'!E5</x:f>
        <x:v>1500</x:v>
      </x:c>
      <x:c r="E15" s="131" t="n">
        <x:f>'Weekly Plan'!F5</x:f>
        <x:v>0.05</x:v>
      </x:c>
      <x:c r="F15" s="38"/>
      <x:c r="G15" s="120" t="str">
        <x:v>Resource Plan</x:v>
      </x:c>
      <x:c r="H15" s="124" t="n">
        <x:f>'Resource Plan'!D16</x:f>
        <x:v>30000</x:v>
      </x:c>
    </x:row>
    <x:row r="16">
      <x:c r="A16" s="121" t="str">
        <x:v>W2</x:v>
      </x:c>
      <x:c r="B16" s="121" t="n">
        <x:f>'Weekly Plan'!C6</x:f>
        <x:v>1</x:v>
      </x:c>
      <x:c r="C16" s="132" t="n">
        <x:f>'Weekly Plan'!D6</x:f>
        <x:v>2200</x:v>
      </x:c>
      <x:c r="D16" s="132" t="n">
        <x:f>'Weekly Plan'!E6</x:f>
        <x:v>3700</x:v>
      </x:c>
      <x:c r="E16" s="133" t="n">
        <x:f>'Weekly Plan'!F6</x:f>
        <x:v>0.12333333333333334</x:v>
      </x:c>
      <x:c r="F16" s="38"/>
      <x:c r="G16" s="120" t="str">
        <x:v>Variance</x:v>
      </x:c>
      <x:c r="H16" s="124" t="n">
        <x:f>H14-H15</x:f>
        <x:v>0</x:v>
      </x:c>
    </x:row>
    <x:row r="17">
      <x:c r="A17" s="121" t="str">
        <x:v>W3</x:v>
      </x:c>
      <x:c r="B17" s="121" t="n">
        <x:f>'Weekly Plan'!C7</x:f>
        <x:v>2</x:v>
      </x:c>
      <x:c r="C17" s="132" t="n">
        <x:f>'Weekly Plan'!D7</x:f>
        <x:v>5000</x:v>
      </x:c>
      <x:c r="D17" s="132" t="n">
        <x:f>'Weekly Plan'!E7</x:f>
        <x:v>8700</x:v>
      </x:c>
      <x:c r="E17" s="133" t="n">
        <x:f>'Weekly Plan'!F7</x:f>
        <x:v>0.29</x:v>
      </x:c>
      <x:c r="F17" s="38"/>
      <x:c r="G17" s="125" t="str">
        <x:v>Status</x:v>
      </x:c>
      <x:c r="H17" s="134" t="str">
        <x:f>IF(H16=0,"BALANCED","REVIEW")</x:f>
        <x:v>BALANCED</x:v>
      </x:c>
    </x:row>
    <x:row r="18">
      <x:c r="A18" s="121" t="str">
        <x:v>W4</x:v>
      </x:c>
      <x:c r="B18" s="121" t="n">
        <x:f>'Weekly Plan'!C8</x:f>
        <x:v>4</x:v>
      </x:c>
      <x:c r="C18" s="132" t="n">
        <x:f>'Weekly Plan'!D8</x:f>
        <x:v>7700</x:v>
      </x:c>
      <x:c r="D18" s="132" t="n">
        <x:f>'Weekly Plan'!E8</x:f>
        <x:v>16400</x:v>
      </x:c>
      <x:c r="E18" s="133" t="n">
        <x:f>'Weekly Plan'!F8</x:f>
        <x:v>0.5466666666666666</x:v>
      </x:c>
      <x:c r="F18" s="38"/>
      <x:c r="G18" s="38"/>
      <x:c r="H18" s="38"/>
    </x:row>
    <x:row r="19">
      <x:c r="A19" s="121" t="str">
        <x:v>W5</x:v>
      </x:c>
      <x:c r="B19" s="121" t="n">
        <x:f>'Weekly Plan'!C9</x:f>
        <x:v>4</x:v>
      </x:c>
      <x:c r="C19" s="132" t="n">
        <x:f>'Weekly Plan'!D9</x:f>
        <x:v>7200</x:v>
      </x:c>
      <x:c r="D19" s="132" t="n">
        <x:f>'Weekly Plan'!E9</x:f>
        <x:v>23600</x:v>
      </x:c>
      <x:c r="E19" s="133" t="n">
        <x:f>'Weekly Plan'!F9</x:f>
        <x:v>0.7866666666666666</x:v>
      </x:c>
      <x:c r="F19" s="38"/>
      <x:c r="G19" s="38"/>
      <x:c r="H19" s="38"/>
    </x:row>
    <x:row r="20">
      <x:c r="A20" s="126" t="str">
        <x:v>W6</x:v>
      </x:c>
      <x:c r="B20" s="126" t="n">
        <x:f>'Weekly Plan'!C10</x:f>
        <x:v>2</x:v>
      </x:c>
      <x:c r="C20" s="135" t="n">
        <x:f>'Weekly Plan'!D10</x:f>
        <x:v>6400</x:v>
      </x:c>
      <x:c r="D20" s="135" t="n">
        <x:f>'Weekly Plan'!E10</x:f>
        <x:v>30000</x:v>
      </x:c>
      <x:c r="E20" s="136" t="n">
        <x:f>'Weekly Plan'!F10</x:f>
        <x:v>1</x:v>
      </x:c>
      <x:c r="F20" s="38"/>
      <x:c r="G20" s="38"/>
      <x:c r="H20" s="38"/>
    </x:row>
    <x:row r="21">
      <x:c r="A21" s="38"/>
      <x:c r="B21" s="38"/>
      <x:c r="C21" s="38"/>
      <x:c r="D21" s="38"/>
      <x:c r="E21" s="38"/>
      <x:c r="F21" s="38"/>
      <x:c r="G21" s="38"/>
      <x:c r="H21" s="38"/>
    </x:row>
    <x:row r="22">
      <x:c r="A22" s="116" t="str">
        <x:v>COMMERCIAL &amp; EXECUTION ASSUMPTIONS</x:v>
      </x:c>
      <x:c r="B22" s="116"/>
      <x:c r="C22" s="116"/>
      <x:c r="D22" s="116"/>
      <x:c r="E22" s="116"/>
      <x:c r="F22" s="116"/>
      <x:c r="G22" s="116"/>
      <x:c r="H22" s="116"/>
    </x:row>
    <x:row r="23" ht="15" hidden="0" customHeight="1">
      <x:c r="A23" s="137" t="n">
        <x:v>1</x:v>
      </x:c>
      <x:c r="B23" s="138" t="str">
        <x:v>Currency is USD. The USD 30,000 price is a lump-sum professional-services budget exclusive of VAT, withholding tax, duties and other statutory charges.</x:v>
      </x:c>
      <x:c r="C23" s="138"/>
      <x:c r="D23" s="138"/>
      <x:c r="E23" s="138"/>
      <x:c r="F23" s="138"/>
      <x:c r="G23" s="138"/>
      <x:c r="H23" s="138"/>
    </x:row>
    <x:row r="24" ht="15" hidden="0" customHeight="1">
      <x:c r="A24" s="139" t="n">
        <x:v>2</x:v>
      </x:c>
      <x:c r="B24" s="140" t="str">
        <x:v>The programme is six consecutive weeks from notice to proceed and receipt of the minimum required client data.</x:v>
      </x:c>
      <x:c r="C24" s="140"/>
      <x:c r="D24" s="140"/>
      <x:c r="E24" s="140"/>
      <x:c r="F24" s="140"/>
      <x:c r="G24" s="140"/>
      <x:c r="H24" s="140"/>
    </x:row>
    <x:row r="25" ht="15" hidden="0" customHeight="1">
      <x:c r="A25" s="139" t="n">
        <x:v>3</x:v>
      </x:c>
      <x:c r="B25" s="140" t="str">
        <x:v>The price includes one consolidated client review cycle per deliverable and one final incorporation of agreed comments.</x:v>
      </x:c>
      <x:c r="C25" s="140"/>
      <x:c r="D25" s="140"/>
      <x:c r="E25" s="140"/>
      <x:c r="F25" s="140"/>
      <x:c r="G25" s="140"/>
      <x:c r="H25" s="140"/>
    </x:row>
    <x:row r="26" ht="15" hidden="0" customHeight="1">
      <x:c r="A26" s="139" t="n">
        <x:v>4</x:v>
      </x:c>
      <x:c r="B26" s="140" t="str">
        <x:v>The client will provide available site, metocean, geotechnical, rig-interface and existing-facility information. Data gaps will be treated as documented assumptions.</x:v>
      </x:c>
      <x:c r="C26" s="140"/>
      <x:c r="D26" s="140"/>
      <x:c r="E26" s="140"/>
      <x:c r="F26" s="140"/>
      <x:c r="G26" s="140"/>
      <x:c r="H26" s="140"/>
    </x:row>
    <x:row r="27" ht="15" hidden="0" customHeight="1">
      <x:c r="A27" s="139" t="n">
        <x:v>5</x:v>
      </x:c>
      <x:c r="B27" s="140" t="str">
        <x:v>The work is conceptual. Detailed finite-element analysis, fabrication drawings, detailed connection design, new surveys and geotechnical investigation are excluded.</x:v>
      </x:c>
      <x:c r="C27" s="140"/>
      <x:c r="D27" s="140"/>
      <x:c r="E27" s="140"/>
      <x:c r="F27" s="140"/>
      <x:c r="G27" s="140"/>
      <x:c r="H27" s="140"/>
    </x:row>
    <x:row r="28" ht="15" hidden="0" customHeight="1">
      <x:c r="A28" s="139" t="n">
        <x:v>6</x:v>
      </x:c>
      <x:c r="B28" s="140" t="str">
        <x:v>C-06 covers certification strategy and certifiability assessment only. Independent certifying authority fees and third-party review charges are excluded.</x:v>
      </x:c>
      <x:c r="C28" s="140"/>
      <x:c r="D28" s="140"/>
      <x:c r="E28" s="140"/>
      <x:c r="F28" s="140"/>
      <x:c r="G28" s="140"/>
      <x:c r="H28" s="140"/>
    </x:row>
    <x:row r="29" ht="26.399999618530273" hidden="0" customHeight="1">
      <x:c r="A29" s="139" t="n">
        <x:v>7</x:v>
      </x:c>
      <x:c r="B29" s="140" t="str">
        <x:v>C-09 is an order-of-magnitude Class 5/4 EPC estimate based on conceptual quantities and stated allowances; the estimate basis will define its accuracy and exclusions.</x:v>
      </x:c>
      <x:c r="C29" s="140"/>
      <x:c r="D29" s="140"/>
      <x:c r="E29" s="140"/>
      <x:c r="F29" s="140"/>
      <x:c r="G29" s="140"/>
      <x:c r="H29" s="140"/>
    </x:row>
    <x:row r="30" ht="15" hidden="0" customHeight="1">
      <x:c r="A30" s="139" t="n">
        <x:v>8</x:v>
      </x:c>
      <x:c r="B30" s="140" t="str">
        <x:v>French/English coverage applies to the consolidated report C-13. Supporting calculations and working documents are issued in English unless otherwise agreed.</x:v>
      </x:c>
      <x:c r="C30" s="140"/>
      <x:c r="D30" s="140"/>
      <x:c r="E30" s="140"/>
      <x:c r="F30" s="140"/>
      <x:c r="G30" s="140"/>
      <x:c r="H30" s="140"/>
    </x:row>
    <x:row r="31" ht="15" hidden="0" customHeight="1">
      <x:c r="A31" s="139" t="n">
        <x:v>9</x:v>
      </x:c>
      <x:c r="B31" s="140" t="str">
        <x:v>Travel, offshore attendance, physical inspection, testing and site supervision are excluded unless added by written variation.</x:v>
      </x:c>
      <x:c r="C31" s="140"/>
      <x:c r="D31" s="140"/>
      <x:c r="E31" s="140"/>
      <x:c r="F31" s="140"/>
      <x:c r="G31" s="140"/>
      <x:c r="H31" s="140"/>
    </x:row>
    <x:row r="32" ht="15" hidden="0" customHeight="1">
      <x:c r="A32" s="141" t="n">
        <x:v>10</x:v>
      </x:c>
      <x:c r="B32" s="142" t="str">
        <x:v>Commercial allocations by deliverable are planning values and do not constitute independently severable unit prices.</x:v>
      </x:c>
      <x:c r="C32" s="142"/>
      <x:c r="D32" s="142"/>
      <x:c r="E32" s="142"/>
      <x:c r="F32" s="142"/>
      <x:c r="G32" s="142"/>
      <x:c r="H32" s="142"/>
    </x:row>
    <x:row r="33">
      <x:c r="A33" s="38"/>
      <x:c r="B33" s="38"/>
      <x:c r="C33" s="38"/>
      <x:c r="D33" s="38"/>
      <x:c r="E33" s="38"/>
      <x:c r="F33" s="38"/>
      <x:c r="G33" s="38"/>
      <x:c r="H33" s="38"/>
    </x:row>
    <x:row r="34">
      <x:c r="A34" s="143" t="str">
        <x:v>Prepared by</x:v>
      </x:c>
      <x:c r="B34" s="143"/>
      <x:c r="C34" s="143" t="str">
        <x:v>Checked by</x:v>
      </x:c>
      <x:c r="D34" s="143"/>
      <x:c r="E34" s="143" t="str">
        <x:v>Approved by</x:v>
      </x:c>
      <x:c r="F34" s="143"/>
      <x:c r="G34" s="143" t="str">
        <x:v>Date</x:v>
      </x:c>
      <x:c r="H34" s="143"/>
    </x:row>
    <x:row r="35">
      <x:c r="A35" s="144"/>
      <x:c r="B35" s="144"/>
      <x:c r="C35" s="144"/>
      <x:c r="D35" s="144"/>
      <x:c r="E35" s="144"/>
      <x:c r="F35" s="144"/>
      <x:c r="G35" s="144"/>
      <x:c r="H35" s="144"/>
    </x:row>
    <x:row r="36">
      <x:c r="A36" s="144"/>
      <x:c r="B36" s="144"/>
      <x:c r="C36" s="144"/>
      <x:c r="D36" s="144"/>
      <x:c r="E36" s="144"/>
      <x:c r="F36" s="144"/>
      <x:c r="G36" s="144"/>
      <x:c r="H36" s="144"/>
    </x:row>
  </x:sheetData>
  <x:mergeCells>
    <x:mergeCell ref="A1:H2"/>
    <x:mergeCell ref="A3:H3"/>
    <x:mergeCell ref="A5:B5"/>
    <x:mergeCell ref="D5:H5"/>
    <x:mergeCell ref="D6:E6"/>
    <x:mergeCell ref="F6:H6"/>
    <x:mergeCell ref="D7:E7"/>
    <x:mergeCell ref="F7:H7"/>
    <x:mergeCell ref="D8:E8"/>
    <x:mergeCell ref="F8:H8"/>
    <x:mergeCell ref="D9:E9"/>
    <x:mergeCell ref="F9:H9"/>
    <x:mergeCell ref="D10:E10"/>
    <x:mergeCell ref="F10:H10"/>
    <x:mergeCell ref="D11:E11"/>
    <x:mergeCell ref="F11:H11"/>
    <x:mergeCell ref="A13:E13"/>
    <x:mergeCell ref="G13:H13"/>
    <x:mergeCell ref="A22:H22"/>
    <x:mergeCell ref="B23:H23"/>
    <x:mergeCell ref="B24:H24"/>
    <x:mergeCell ref="B25:H25"/>
    <x:mergeCell ref="B26:H26"/>
    <x:mergeCell ref="B27:H27"/>
    <x:mergeCell ref="B28:H28"/>
    <x:mergeCell ref="B29:H29"/>
    <x:mergeCell ref="B30:H30"/>
    <x:mergeCell ref="B31:H31"/>
    <x:mergeCell ref="B32:H32"/>
    <x:mergeCell ref="A34:B34"/>
    <x:mergeCell ref="C34:D34"/>
    <x:mergeCell ref="E34:F34"/>
    <x:mergeCell ref="G34:H34"/>
    <x:mergeCell ref="A35:B36"/>
    <x:mergeCell ref="C35:D36"/>
    <x:mergeCell ref="E35:F36"/>
    <x:mergeCell ref="G35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5" hidden="0" customWidth="1"/>
    <x:col min="3" max="3" width="11" hidden="0" customWidth="1"/>
    <x:col min="4" max="4" width="34" hidden="0" customWidth="1"/>
    <x:col min="5" max="5" width="12" hidden="0" customWidth="1"/>
    <x:col min="6" max="6" width="20" hidden="0" customWidth="1"/>
    <x:col min="7" max="7" width="15" hidden="0" customWidth="1"/>
    <x:col min="8" max="8" width="17" hidden="0" customWidth="1"/>
    <x:col min="9" max="9" width="67" hidden="0" customWidth="1"/>
  </x:cols>
  <x:sheetData>
    <x:row r="1">
      <x:c r="A1" s="36" t="str">
        <x:v>COST–TIME–RESOURCE DETAIL</x:v>
      </x:c>
      <x:c r="B1" s="36"/>
      <x:c r="C1" s="36"/>
      <x:c r="D1" s="36"/>
      <x:c r="E1" s="36"/>
      <x:c r="F1" s="36"/>
      <x:c r="G1" s="36"/>
      <x:c r="H1" s="36"/>
      <x:c r="I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</x:row>
    <x:row r="3">
      <x:c r="A3" s="37" t="str">
        <x:v>Commercial allocation and acceptance basis for the six-week conceptual engineering study.</x:v>
      </x:c>
      <x:c r="B3" s="37"/>
      <x:c r="C3" s="37"/>
      <x:c r="D3" s="37"/>
      <x:c r="E3" s="37"/>
      <x:c r="F3" s="37"/>
      <x:c r="G3" s="37"/>
      <x:c r="H3" s="37"/>
      <x:c r="I3" s="37"/>
    </x:row>
    <x:row r="4">
      <x:c r="A4" s="38"/>
      <x:c r="B4" s="38"/>
      <x:c r="C4" s="38"/>
      <x:c r="D4" s="38"/>
      <x:c r="E4" s="38"/>
      <x:c r="F4" s="38"/>
      <x:c r="G4" s="38"/>
      <x:c r="H4" s="38"/>
      <x:c r="I4" s="38"/>
    </x:row>
    <x:row r="5">
      <x:c r="A5" s="39" t="str">
        <x:v>Code</x:v>
      </x:c>
      <x:c r="B5" s="39" t="str">
        <x:v>Deliverable</x:v>
      </x:c>
      <x:c r="C5" s="39" t="str">
        <x:v>Due Week</x:v>
      </x:c>
      <x:c r="D5" s="39" t="str">
        <x:v>Lead Resource</x:v>
      </x:c>
      <x:c r="E5" s="39" t="str">
        <x:v>Complexity</x:v>
      </x:c>
      <x:c r="F5" s="39" t="str">
        <x:v>Cost Allocation (USD)</x:v>
      </x:c>
      <x:c r="G5" s="39" t="str">
        <x:v>Budget Share</x:v>
      </x:c>
      <x:c r="H5" s="39" t="str">
        <x:v>Equivalent Hours</x:v>
      </x:c>
      <x:c r="I5" s="39" t="str">
        <x:v>Deliverable / Acceptance Basis</x:v>
      </x:c>
    </x:row>
    <x:row r="6" ht="15" hidden="0" customHeight="1">
      <x:c r="A6" s="40" t="str">
        <x:v>C-01</x:v>
      </x:c>
      <x:c r="B6" s="40" t="str">
        <x:v>Design Basis Memorandum</x:v>
      </x:c>
      <x:c r="C6" s="40" t="str">
        <x:v>W1</x:v>
      </x:c>
      <x:c r="D6" s="40" t="str">
        <x:v>Study Lead / Lead Structural Engineer</x:v>
      </x:c>
      <x:c r="E6" s="40" t="str">
        <x:v>Medium</x:v>
      </x:c>
      <x:c r="F6" s="41" t="n">
        <x:v>1500</x:v>
      </x:c>
      <x:c r="G6" s="43" t="n">
        <x:f>F6/$F$20</x:f>
        <x:v>0.05</x:v>
      </x:c>
      <x:c r="H6" s="60" t="n">
        <x:f>F6/'CTR Summary'!$F$9</x:f>
        <x:v>12.100000000000001</x:v>
      </x:c>
      <x:c r="I6" s="40" t="str">
        <x:v>Codes, criteria, inputs, interfaces and governing assumptions formally defined.</x:v>
      </x:c>
    </x:row>
    <x:row r="7" ht="26.399999618530273" hidden="0" customHeight="1">
      <x:c r="A7" s="44" t="str">
        <x:v>C-02</x:v>
      </x:c>
      <x:c r="B7" s="44" t="str">
        <x:v>Concept Screening &amp; Selection – note and matrix</x:v>
      </x:c>
      <x:c r="C7" s="44" t="str">
        <x:v>W2</x:v>
      </x:c>
      <x:c r="D7" s="44" t="str">
        <x:v>Lead Structural Engineer</x:v>
      </x:c>
      <x:c r="E7" s="44" t="str">
        <x:v>High</x:v>
      </x:c>
      <x:c r="F7" s="45" t="n">
        <x:v>2200</x:v>
      </x:c>
      <x:c r="G7" s="47" t="n">
        <x:f>F7/$F$20</x:f>
        <x:v>0.07333333333333333</x:v>
      </x:c>
      <x:c r="H7" s="61" t="n">
        <x:f>F7/'CTR Summary'!$F$9</x:f>
        <x:v>17.746666666666666</x:v>
      </x:c>
      <x:c r="I7" s="44" t="str">
        <x:v>Screening matrix records the alternatives, criteria, scoring, recommendation and rationale.</x:v>
      </x:c>
    </x:row>
    <x:row r="8" ht="15" hidden="0" customHeight="1">
      <x:c r="A8" s="44" t="str">
        <x:v>C-03</x:v>
      </x:c>
      <x:c r="B8" s="44" t="str">
        <x:v>Preliminary Load Screening – LC1 to LC10</x:v>
      </x:c>
      <x:c r="C8" s="44" t="str">
        <x:v>W3</x:v>
      </x:c>
      <x:c r="D8" s="44" t="str">
        <x:v>Structural Engineer</x:v>
      </x:c>
      <x:c r="E8" s="44" t="str">
        <x:v>High</x:v>
      </x:c>
      <x:c r="F8" s="45" t="n">
        <x:v>2800</x:v>
      </x:c>
      <x:c r="G8" s="47" t="n">
        <x:f>F8/$F$20</x:f>
        <x:v>0.09333333333333334</x:v>
      </x:c>
      <x:c r="H8" s="61" t="n">
        <x:f>F8/'CTR Summary'!$F$9</x:f>
        <x:v>22.586666666666666</x:v>
      </x:c>
      <x:c r="I8" s="44" t="str">
        <x:v>LC1–LC10 are screened and governing conceptual load cases are identified.</x:v>
      </x:c>
    </x:row>
    <x:row r="9" ht="26.399999618530273" hidden="0" customHeight="1">
      <x:c r="A9" s="44" t="str">
        <x:v>C-04</x:v>
      </x:c>
      <x:c r="B9" s="44" t="str">
        <x:v>Preliminary Structural Sizing</x:v>
      </x:c>
      <x:c r="C9" s="44" t="str">
        <x:v>W3</x:v>
      </x:c>
      <x:c r="D9" s="44" t="str">
        <x:v>Lead Structural Engineer</x:v>
      </x:c>
      <x:c r="E9" s="44" t="str">
        <x:v>High</x:v>
      </x:c>
      <x:c r="F9" s="45" t="n">
        <x:v>2200</x:v>
      </x:c>
      <x:c r="G9" s="47" t="n">
        <x:f>F9/$F$20</x:f>
        <x:v>0.07333333333333333</x:v>
      </x:c>
      <x:c r="H9" s="61" t="n">
        <x:f>F9/'CTR Summary'!$F$9</x:f>
        <x:v>17.746666666666666</x:v>
      </x:c>
      <x:c r="I9" s="44" t="str">
        <x:v>Primary members are sized to conceptual level with governing checks and assumptions.</x:v>
      </x:c>
    </x:row>
    <x:row r="10" ht="26.399999618530273" hidden="0" customHeight="1">
      <x:c r="A10" s="44" t="str">
        <x:v>C-05</x:v>
      </x:c>
      <x:c r="B10" s="44" t="str">
        <x:v>Preliminary Foundation Assessment – mud mat bearing/sliding</x:v>
      </x:c>
      <x:c r="C10" s="44" t="str">
        <x:v>W4</x:v>
      </x:c>
      <x:c r="D10" s="44" t="str">
        <x:v>Lead Structural Engineer</x:v>
      </x:c>
      <x:c r="E10" s="44" t="str">
        <x:v>High</x:v>
      </x:c>
      <x:c r="F10" s="45" t="n">
        <x:v>2400</x:v>
      </x:c>
      <x:c r="G10" s="47" t="n">
        <x:f>F10/$F$20</x:f>
        <x:v>0.08</x:v>
      </x:c>
      <x:c r="H10" s="61" t="n">
        <x:f>F10/'CTR Summary'!$F$9</x:f>
        <x:v>19.36</x:v>
      </x:c>
      <x:c r="I10" s="44" t="str">
        <x:v>Mud-mat bearing and sliding capacity are assessed using the agreed preliminary soil basis.</x:v>
      </x:c>
    </x:row>
    <x:row r="11" ht="26.399999618530273" hidden="0" customHeight="1">
      <x:c r="A11" s="44" t="str">
        <x:v>C-06</x:v>
      </x:c>
      <x:c r="B11" s="44" t="str">
        <x:v>Certification Strategy &amp; Certifiability</x:v>
      </x:c>
      <x:c r="C11" s="44" t="str">
        <x:v>W5</x:v>
      </x:c>
      <x:c r="D11" s="44" t="str">
        <x:v>Certification Specialist</x:v>
      </x:c>
      <x:c r="E11" s="44" t="str">
        <x:v>High</x:v>
      </x:c>
      <x:c r="F11" s="45" t="n">
        <x:v>2300</x:v>
      </x:c>
      <x:c r="G11" s="47" t="n">
        <x:f>F11/$F$20</x:f>
        <x:v>0.07666666666666666</x:v>
      </x:c>
      <x:c r="H11" s="61" t="n">
        <x:f>F11/'CTR Summary'!$F$9</x:f>
        <x:v>18.553333333333335</x:v>
      </x:c>
      <x:c r="I11" s="44" t="str">
        <x:v>Applicable rules, certification path, review gates and certifiability risks are documented.</x:v>
      </x:c>
    </x:row>
    <x:row r="12" ht="26.399999618530273" hidden="0" customHeight="1">
      <x:c r="A12" s="44" t="str">
        <x:v>C-07</x:v>
      </x:c>
      <x:c r="B12" s="44" t="str">
        <x:v>Conceptual General Arrangement</x:v>
      </x:c>
      <x:c r="C12" s="44" t="str">
        <x:v>W4</x:v>
      </x:c>
      <x:c r="D12" s="44" t="str">
        <x:v>Lead Structural Engineer / CAD Designer</x:v>
      </x:c>
      <x:c r="E12" s="44" t="str">
        <x:v>High</x:v>
      </x:c>
      <x:c r="F12" s="45" t="n">
        <x:v>2300</x:v>
      </x:c>
      <x:c r="G12" s="47" t="n">
        <x:f>F12/$F$20</x:f>
        <x:v>0.07666666666666666</x:v>
      </x:c>
      <x:c r="H12" s="61" t="n">
        <x:f>F12/'CTR Summary'!$F$9</x:f>
        <x:v>18.553333333333335</x:v>
      </x:c>
      <x:c r="I12" s="44" t="str">
        <x:v>Conceptual GA shows major dimensions, elevations, access, interfaces and principal components.</x:v>
      </x:c>
    </x:row>
    <x:row r="13" ht="26.399999618530273" hidden="0" customHeight="1">
      <x:c r="A13" s="44" t="str">
        <x:v>C-08</x:v>
      </x:c>
      <x:c r="B13" s="44" t="str">
        <x:v>Installation Concept – rig-based</x:v>
      </x:c>
      <x:c r="C13" s="44" t="str">
        <x:v>W4</x:v>
      </x:c>
      <x:c r="D13" s="44" t="str">
        <x:v>Marine / Installation Engineer</x:v>
      </x:c>
      <x:c r="E13" s="44" t="str">
        <x:v>Medium</x:v>
      </x:c>
      <x:c r="F13" s="45" t="n">
        <x:v>1800</x:v>
      </x:c>
      <x:c r="G13" s="47" t="n">
        <x:f>F13/$F$20</x:f>
        <x:v>0.06</x:v>
      </x:c>
      <x:c r="H13" s="61" t="n">
        <x:f>F13/'CTR Summary'!$F$9</x:f>
        <x:v>14.520000000000001</x:v>
      </x:c>
      <x:c r="I13" s="44" t="str">
        <x:v>Rig-based installation sequence, lifts, interfaces, constraints and prerequisites are defined.</x:v>
      </x:c>
    </x:row>
    <x:row r="14" ht="26.399999618530273" hidden="0" customHeight="1">
      <x:c r="A14" s="44" t="str">
        <x:v>C-09</x:v>
      </x:c>
      <x:c r="B14" s="44" t="str">
        <x:v>Order-of-Magnitude EPC Estimate – Class 5/4</x:v>
      </x:c>
      <x:c r="C14" s="44" t="str">
        <x:v>W5</x:v>
      </x:c>
      <x:c r="D14" s="44" t="str">
        <x:v>Cost Estimator</x:v>
      </x:c>
      <x:c r="E14" s="44" t="str">
        <x:v>High</x:v>
      </x:c>
      <x:c r="F14" s="45" t="n">
        <x:v>2000</x:v>
      </x:c>
      <x:c r="G14" s="47" t="n">
        <x:f>F14/$F$20</x:f>
        <x:v>0.06666666666666667</x:v>
      </x:c>
      <x:c r="H14" s="61" t="n">
        <x:f>F14/'CTR Summary'!$F$9</x:f>
        <x:v>16.133333333333333</x:v>
      </x:c>
      <x:c r="I14" s="44" t="str">
        <x:v>Estimate includes basis, conceptual quantities, exclusions, allowances and accuracy statement.</x:v>
      </x:c>
    </x:row>
    <x:row r="15" ht="26.399999618530273" hidden="0" customHeight="1">
      <x:c r="A15" s="44" t="str">
        <x:v>C-10</x:v>
      </x:c>
      <x:c r="B15" s="44" t="str">
        <x:v>Preliminary Weight Estimate / CoG</x:v>
      </x:c>
      <x:c r="C15" s="44" t="str">
        <x:v>W5</x:v>
      </x:c>
      <x:c r="D15" s="44" t="str">
        <x:v>Structural Engineer</x:v>
      </x:c>
      <x:c r="E15" s="44" t="str">
        <x:v>Medium</x:v>
      </x:c>
      <x:c r="F15" s="45" t="n">
        <x:v>1500</x:v>
      </x:c>
      <x:c r="G15" s="47" t="n">
        <x:f>F15/$F$20</x:f>
        <x:v>0.05</x:v>
      </x:c>
      <x:c r="H15" s="61" t="n">
        <x:f>F15/'CTR Summary'!$F$9</x:f>
        <x:v>12.100000000000001</x:v>
      </x:c>
      <x:c r="I15" s="44" t="str">
        <x:v>Weight summary and preliminary centre-of-gravity basis are provided by major component.</x:v>
      </x:c>
    </x:row>
    <x:row r="16" ht="26.399999618530273" hidden="0" customHeight="1">
      <x:c r="A16" s="44" t="str">
        <x:v>C-11</x:v>
      </x:c>
      <x:c r="B16" s="44" t="str">
        <x:v>Cathodic Protection Strategy – 5-year basis</x:v>
      </x:c>
      <x:c r="C16" s="44" t="str">
        <x:v>W5</x:v>
      </x:c>
      <x:c r="D16" s="44" t="str">
        <x:v>Corrosion / CP Engineer</x:v>
      </x:c>
      <x:c r="E16" s="44" t="str">
        <x:v>Medium</x:v>
      </x:c>
      <x:c r="F16" s="45" t="n">
        <x:v>1400</x:v>
      </x:c>
      <x:c r="G16" s="47" t="n">
        <x:f>F16/$F$20</x:f>
        <x:v>0.04666666666666667</x:v>
      </x:c>
      <x:c r="H16" s="61" t="n">
        <x:f>F16/'CTR Summary'!$F$9</x:f>
        <x:v>11.293333333333333</x:v>
      </x:c>
      <x:c r="I16" s="44" t="str">
        <x:v>Five-year CP philosophy, current-demand basis, anode concept and interfaces are documented.</x:v>
      </x:c>
    </x:row>
    <x:row r="17" ht="26.399999618530273" hidden="0" customHeight="1">
      <x:c r="A17" s="44" t="str">
        <x:v>C-12</x:v>
      </x:c>
      <x:c r="B17" s="44" t="str">
        <x:v>Navigation Marking Concept – light/foghorn/solar</x:v>
      </x:c>
      <x:c r="C17" s="44" t="str">
        <x:v>W4</x:v>
      </x:c>
      <x:c r="D17" s="44" t="str">
        <x:v>Marine / Installation Engineer</x:v>
      </x:c>
      <x:c r="E17" s="44" t="str">
        <x:v>Medium</x:v>
      </x:c>
      <x:c r="F17" s="45" t="n">
        <x:v>1200</x:v>
      </x:c>
      <x:c r="G17" s="47" t="n">
        <x:f>F17/$F$20</x:f>
        <x:v>0.04</x:v>
      </x:c>
      <x:c r="H17" s="61" t="n">
        <x:f>F17/'CTR Summary'!$F$9</x:f>
        <x:v>9.68</x:v>
      </x:c>
      <x:c r="I17" s="44" t="str">
        <x:v>Concept defines light, foghorn, solar supply, battery autonomy and installation interfaces.</x:v>
      </x:c>
    </x:row>
    <x:row r="18" ht="26.399999618530273" hidden="0" customHeight="1">
      <x:c r="A18" s="44" t="str">
        <x:v>C-13</x:v>
      </x:c>
      <x:c r="B18" s="44" t="str">
        <x:v>Consolidated Conceptual Study Report – FR/EN</x:v>
      </x:c>
      <x:c r="C18" s="44" t="str">
        <x:v>W6</x:v>
      </x:c>
      <x:c r="D18" s="44" t="str">
        <x:v>Study Lead / Bilingual Technical Editor</x:v>
      </x:c>
      <x:c r="E18" s="44" t="str">
        <x:v>High</x:v>
      </x:c>
      <x:c r="F18" s="45" t="n">
        <x:v>5500</x:v>
      </x:c>
      <x:c r="G18" s="47" t="n">
        <x:f>F18/$F$20</x:f>
        <x:v>0.18333333333333332</x:v>
      </x:c>
      <x:c r="H18" s="61" t="n">
        <x:f>F18/'CTR Summary'!$F$9</x:f>
        <x:v>44.36666666666667</x:v>
      </x:c>
      <x:c r="I18" s="44" t="str">
        <x:v>Final French and English report consolidates the selected concept, analyses and recommendations.</x:v>
      </x:c>
    </x:row>
    <x:row r="19" ht="26.399999618530273" hidden="0" customHeight="1">
      <x:c r="A19" s="48" t="str">
        <x:v>C-14</x:v>
      </x:c>
      <x:c r="B19" s="48" t="str">
        <x:v>Risk &amp; Assumptions Register</x:v>
      </x:c>
      <x:c r="C19" s="48" t="str">
        <x:v>W6</x:v>
      </x:c>
      <x:c r="D19" s="48" t="str">
        <x:v>Study Lead</x:v>
      </x:c>
      <x:c r="E19" s="48" t="str">
        <x:v>Medium</x:v>
      </x:c>
      <x:c r="F19" s="49" t="n">
        <x:v>900</x:v>
      </x:c>
      <x:c r="G19" s="51" t="n">
        <x:f>F19/$F$20</x:f>
        <x:v>0.03</x:v>
      </x:c>
      <x:c r="H19" s="62" t="n">
        <x:f>F19/'CTR Summary'!$F$9</x:f>
        <x:v>7.260000000000001</x:v>
      </x:c>
      <x:c r="I19" s="48" t="str">
        <x:v>Controlled register captures key risks, assumptions, owners, actions and close-out status.</x:v>
      </x:c>
    </x:row>
    <x:row r="20">
      <x:c r="A20" s="52" t="str">
        <x:v>TOTAL</x:v>
      </x:c>
      <x:c r="B20" s="52" t="str">
        <x:v>14 deliverables</x:v>
      </x:c>
      <x:c r="C20" s="52" t="str">
        <x:v>W1–W6</x:v>
      </x:c>
      <x:c r="D20" s="52" t="str"/>
      <x:c r="E20" s="52" t="str"/>
      <x:c r="F20" s="53" t="n">
        <x:f>SUM(F6:F19)</x:f>
        <x:v>30000</x:v>
      </x:c>
      <x:c r="G20" s="55" t="n">
        <x:f>SUM(G6:G19)</x:f>
        <x:v>1.0000000000000002</x:v>
      </x:c>
      <x:c r="H20" s="63" t="n">
        <x:f>SUM(H6:H19)</x:f>
        <x:v>242</x:v>
      </x:c>
      <x:c r="I20" s="52" t="str"/>
    </x:row>
  </x:sheetData>
  <x:mergeCells>
    <x:mergeCell ref="A1:I2"/>
    <x:mergeCell ref="A3:I3"/>
  </x:mergeCells>
  <x:conditionalFormatting sqref="F6:F19">
    <x:cfRule type="dataBar" priority="1">
      <x:dataBar>
        <x:cfvo type="min"/>
        <x:cfvo type="max"/>
        <x:color rgb="FFF2773D"/>
      </x:dataBar>
      <x:extLst>
        <x:ext xmlns:x14="http://schemas.microsoft.com/office/spreadsheetml/2009/9/main" uri="{B025F937-C7B1-47D3-B67F-A62EFF666E3E}">
          <x14:id>{902A7456-85F1-D163-D52C-B331506D9343}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af5c1ff2b56453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02A7456-85F1-D163-D52C-B331506D9343}">
            <x14:dataBar gradient="1">
              <x14:cfvo type="min"/>
              <x14:cfvo type="max"/>
              <x14:fillColor rgb="FFF2773D"/>
            </x14:dataBar>
          </x14:cfRule>
          <xm:sqref>F6:F19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55" hidden="0" customWidth="1"/>
  </x:cols>
  <x:sheetData>
    <x:row r="1">
      <x:c r="A1" s="36" t="str">
        <x:v>RESOURCE LOADING &amp; COST BASIS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3">
      <x:c r="A3" s="37" t="str">
        <x:v>Planned professional hours and charge-out rates supporting the fixed USD 30,000 CTR.</x:v>
      </x:c>
      <x:c r="B3" s="37"/>
      <x:c r="C3" s="37"/>
      <x:c r="D3" s="37"/>
      <x:c r="E3" s="37"/>
      <x:c r="F3" s="37"/>
    </x:row>
    <x:row r="4">
      <x:c r="A4" s="38"/>
      <x:c r="B4" s="38"/>
      <x:c r="C4" s="38"/>
      <x:c r="D4" s="38"/>
      <x:c r="E4" s="38"/>
      <x:c r="F4" s="38"/>
    </x:row>
    <x:row r="5">
      <x:c r="A5" s="39" t="str">
        <x:v>Role</x:v>
      </x:c>
      <x:c r="B5" s="39" t="str">
        <x:v>Rate (USD/hr)</x:v>
      </x:c>
      <x:c r="C5" s="39" t="str">
        <x:v>Planned Hours</x:v>
      </x:c>
      <x:c r="D5" s="39" t="str">
        <x:v>Cost (USD)</x:v>
      </x:c>
      <x:c r="E5" s="39" t="str">
        <x:v>Cost Share</x:v>
      </x:c>
      <x:c r="F5" s="39" t="str">
        <x:v>Primary Responsibility</x:v>
      </x:c>
    </x:row>
    <x:row r="6" ht="26.399999618530273" hidden="0" customHeight="1">
      <x:c r="A6" s="40" t="str">
        <x:v>Project Manager / Study Lead</x:v>
      </x:c>
      <x:c r="B6" s="41" t="n">
        <x:v>160</x:v>
      </x:c>
      <x:c r="C6" s="42" t="n">
        <x:v>20</x:v>
      </x:c>
      <x:c r="D6" s="41" t="n">
        <x:f>B6*C6</x:f>
        <x:v>3200</x:v>
      </x:c>
      <x:c r="E6" s="43" t="n">
        <x:f>D6/$D$16</x:f>
        <x:v>0.10666666666666667</x:v>
      </x:c>
      <x:c r="F6" s="40" t="str">
        <x:v>Leadership, planning, client interface, technical integration and final approval.</x:v>
      </x:c>
    </x:row>
    <x:row r="7" ht="26.399999618530273" hidden="0" customHeight="1">
      <x:c r="A7" s="44" t="str">
        <x:v>Lead Structural Engineer</x:v>
      </x:c>
      <x:c r="B7" s="45" t="n">
        <x:v>150</x:v>
      </x:c>
      <x:c r="C7" s="46" t="n">
        <x:v>70</x:v>
      </x:c>
      <x:c r="D7" s="45" t="n">
        <x:f>B7*C7</x:f>
        <x:v>10500</x:v>
      </x:c>
      <x:c r="E7" s="47" t="n">
        <x:f>D7/$D$16</x:f>
        <x:v>0.35</x:v>
      </x:c>
      <x:c r="F7" s="44" t="str">
        <x:v>Concept selection, design basis, structural sizing, foundation assessment and technical assurance.</x:v>
      </x:c>
    </x:row>
    <x:row r="8" ht="26.399999618530273" hidden="0" customHeight="1">
      <x:c r="A8" s="44" t="str">
        <x:v>Structural Engineer</x:v>
      </x:c>
      <x:c r="B8" s="45" t="n">
        <x:v>110</x:v>
      </x:c>
      <x:c r="C8" s="46" t="n">
        <x:v>58</x:v>
      </x:c>
      <x:c r="D8" s="45" t="n">
        <x:f>B8*C8</x:f>
        <x:v>6380</x:v>
      </x:c>
      <x:c r="E8" s="47" t="n">
        <x:f>D8/$D$16</x:f>
        <x:v>0.21266666666666667</x:v>
      </x:c>
      <x:c r="F8" s="44" t="str">
        <x:v>Load screening, calculations, weight/CoG development and report inputs.</x:v>
      </x:c>
    </x:row>
    <x:row r="9" ht="15" hidden="0" customHeight="1">
      <x:c r="A9" s="44" t="str">
        <x:v>Marine / Installation Engineer</x:v>
      </x:c>
      <x:c r="B9" s="45" t="n">
        <x:v>130</x:v>
      </x:c>
      <x:c r="C9" s="46" t="n">
        <x:v>24</x:v>
      </x:c>
      <x:c r="D9" s="45" t="n">
        <x:f>B9*C9</x:f>
        <x:v>3120</x:v>
      </x:c>
      <x:c r="E9" s="47" t="n">
        <x:f>D9/$D$16</x:f>
        <x:v>0.104</x:v>
      </x:c>
      <x:c r="F9" s="44" t="str">
        <x:v>Rig-based installation concept and navigation marking interfaces.</x:v>
      </x:c>
    </x:row>
    <x:row r="10" ht="26.399999618530273" hidden="0" customHeight="1">
      <x:c r="A10" s="44" t="str">
        <x:v>Certification Specialist</x:v>
      </x:c>
      <x:c r="B10" s="45" t="n">
        <x:v>140</x:v>
      </x:c>
      <x:c r="C10" s="46" t="n">
        <x:v>14</x:v>
      </x:c>
      <x:c r="D10" s="45" t="n">
        <x:f>B10*C10</x:f>
        <x:v>1960</x:v>
      </x:c>
      <x:c r="E10" s="47" t="n">
        <x:f>D10/$D$16</x:f>
        <x:v>0.06533333333333333</x:v>
      </x:c>
      <x:c r="F10" s="44" t="str">
        <x:v>Certification strategy, applicable requirements and certifiability review.</x:v>
      </x:c>
    </x:row>
    <x:row r="11" ht="26.399999618530273" hidden="0" customHeight="1">
      <x:c r="A11" s="44" t="str">
        <x:v>Cost Estimator</x:v>
      </x:c>
      <x:c r="B11" s="45" t="n">
        <x:v>100</x:v>
      </x:c>
      <x:c r="C11" s="46" t="n">
        <x:v>14</x:v>
      </x:c>
      <x:c r="D11" s="45" t="n">
        <x:f>B11*C11</x:f>
        <x:v>1400</x:v>
      </x:c>
      <x:c r="E11" s="47" t="n">
        <x:f>D11/$D$16</x:f>
        <x:v>0.04666666666666667</x:v>
      </x:c>
      <x:c r="F11" s="44" t="str">
        <x:v>Class 5/4 EPC estimate basis, quantities, allowances and estimate compilation.</x:v>
      </x:c>
    </x:row>
    <x:row r="12" ht="15" hidden="0" customHeight="1">
      <x:c r="A12" s="44" t="str">
        <x:v>Corrosion / CP Engineer</x:v>
      </x:c>
      <x:c r="B12" s="45" t="n">
        <x:v>120</x:v>
      </x:c>
      <x:c r="C12" s="46" t="n">
        <x:v>8</x:v>
      </x:c>
      <x:c r="D12" s="45" t="n">
        <x:f>B12*C12</x:f>
        <x:v>960</x:v>
      </x:c>
      <x:c r="E12" s="47" t="n">
        <x:f>D12/$D$16</x:f>
        <x:v>0.032</x:v>
      </x:c>
      <x:c r="F12" s="44" t="str">
        <x:v>Five-year cathodic-protection strategy and conceptual sizing basis.</x:v>
      </x:c>
    </x:row>
    <x:row r="13" ht="15" hidden="0" customHeight="1">
      <x:c r="A13" s="44" t="str">
        <x:v>CAD Designer</x:v>
      </x:c>
      <x:c r="B13" s="45" t="n">
        <x:v>75</x:v>
      </x:c>
      <x:c r="C13" s="46" t="n">
        <x:v>24</x:v>
      </x:c>
      <x:c r="D13" s="45" t="n">
        <x:f>B13*C13</x:f>
        <x:v>1800</x:v>
      </x:c>
      <x:c r="E13" s="47" t="n">
        <x:f>D13/$D$16</x:f>
        <x:v>0.06</x:v>
      </x:c>
      <x:c r="F13" s="44" t="str">
        <x:v>Conceptual general arrangement and supporting report graphics.</x:v>
      </x:c>
    </x:row>
    <x:row r="14" ht="15" hidden="0" customHeight="1">
      <x:c r="A14" s="44" t="str">
        <x:v>Bilingual Technical Editor</x:v>
      </x:c>
      <x:c r="B14" s="45" t="n">
        <x:v>80</x:v>
      </x:c>
      <x:c r="C14" s="46" t="n">
        <x:v>4</x:v>
      </x:c>
      <x:c r="D14" s="45" t="n">
        <x:f>B14*C14</x:f>
        <x:v>320</x:v>
      </x:c>
      <x:c r="E14" s="47" t="n">
        <x:f>D14/$D$16</x:f>
        <x:v>0.010666666666666666</x:v>
      </x:c>
      <x:c r="F14" s="44" t="str">
        <x:v>FR/EN final-report consistency and technical editing.</x:v>
      </x:c>
    </x:row>
    <x:row r="15" ht="15" hidden="0" customHeight="1">
      <x:c r="A15" s="48" t="str">
        <x:v>Document Controller</x:v>
      </x:c>
      <x:c r="B15" s="49" t="n">
        <x:v>60</x:v>
      </x:c>
      <x:c r="C15" s="50" t="n">
        <x:v>6</x:v>
      </x:c>
      <x:c r="D15" s="49" t="n">
        <x:f>B15*C15</x:f>
        <x:v>360</x:v>
      </x:c>
      <x:c r="E15" s="51" t="n">
        <x:f>D15/$D$16</x:f>
        <x:v>0.012</x:v>
      </x:c>
      <x:c r="F15" s="48" t="str">
        <x:v>Deliverable register, issue control, transmittal and final compilation.</x:v>
      </x:c>
    </x:row>
    <x:row r="16">
      <x:c r="A16" s="52" t="str">
        <x:v>TOTAL</x:v>
      </x:c>
      <x:c r="B16" s="53"/>
      <x:c r="C16" s="54" t="n">
        <x:f>SUM(C6:C15)</x:f>
        <x:v>242</x:v>
      </x:c>
      <x:c r="D16" s="53" t="n">
        <x:f>SUM(D6:D15)</x:f>
        <x:v>30000</x:v>
      </x:c>
      <x:c r="E16" s="55" t="n">
        <x:f>SUM(E6:E15)</x:f>
        <x:v>1</x:v>
      </x:c>
      <x:c r="F16" s="52" t="str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55bc05e5d9446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17" hidden="0" customWidth="1"/>
    <x:col min="4" max="4" width="21" hidden="0" customWidth="1"/>
    <x:col min="5" max="5" width="21" hidden="0" customWidth="1"/>
    <x:col min="6" max="6" width="17" hidden="0" customWidth="1"/>
    <x:col min="8" max="8" width="10" hidden="0" customWidth="1"/>
    <x:col min="9" max="9" width="19" hidden="0" customWidth="1"/>
    <x:col min="10" max="10" width="19" hidden="0" customWidth="1"/>
  </x:cols>
  <x:sheetData>
    <x:row r="1">
      <x:c r="A1" s="36" t="str">
        <x:v>SIX-WEEK DELIVERY &amp; COMMERCIAL CURVE</x:v>
      </x:c>
      <x:c r="B1" s="36"/>
      <x:c r="C1" s="36"/>
      <x:c r="D1" s="36"/>
      <x:c r="E1" s="36"/>
      <x:c r="F1" s="36"/>
      <x:c r="G1" s="36"/>
      <x:c r="H1" s="36"/>
      <x:c r="I1" s="36"/>
      <x:c r="J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>
      <x:c r="A4" s="39" t="str">
        <x:v>Week</x:v>
      </x:c>
      <x:c r="B4" s="39" t="str">
        <x:v>Milestone Objective</x:v>
      </x:c>
      <x:c r="C4" s="39" t="str">
        <x:v>Deliverables Due</x:v>
      </x:c>
      <x:c r="D4" s="39" t="str">
        <x:v>Weekly Allocation</x:v>
      </x:c>
      <x:c r="E4" s="39" t="str">
        <x:v>Cumulative Allocation</x:v>
      </x:c>
      <x:c r="F4" s="39" t="str">
        <x:v>Cumulative %</x:v>
      </x:c>
      <x:c r="G4" s="38"/>
      <x:c r="H4" s="70" t="str">
        <x:v>Week</x:v>
      </x:c>
      <x:c r="I4" s="70" t="str">
        <x:v>Weekly Cost</x:v>
      </x:c>
      <x:c r="J4" s="70" t="str">
        <x:v>Cumulative Cost</x:v>
      </x:c>
    </x:row>
    <x:row r="5" ht="15" hidden="0" customHeight="1">
      <x:c r="A5" s="40" t="str">
        <x:v>W1</x:v>
      </x:c>
      <x:c r="B5" s="40" t="str">
        <x:v>Basis confirmed and study mobilisation complete</x:v>
      </x:c>
      <x:c r="C5" s="40" t="n">
        <x:f>COUNTIF('CTR Detail'!$C$6:$C$19,A5)</x:f>
        <x:v>1</x:v>
      </x:c>
      <x:c r="D5" s="41" t="n">
        <x:f>SUMIF('CTR Detail'!$C$6:$C$19,A5,'CTR Detail'!$F$6:$F$19)</x:f>
        <x:v>1500</x:v>
      </x:c>
      <x:c r="E5" s="41" t="n">
        <x:f>D5</x:f>
        <x:v>1500</x:v>
      </x:c>
      <x:c r="F5" s="43" t="n">
        <x:f>E5/'CTR Summary'!$F$7</x:f>
        <x:v>0.05</x:v>
      </x:c>
      <x:c r="G5" s="38"/>
      <x:c r="H5" s="71" t="str">
        <x:f>A5</x:f>
        <x:v>W1</x:v>
      </x:c>
      <x:c r="I5" s="72" t="n">
        <x:f>D5</x:f>
        <x:v>1500</x:v>
      </x:c>
      <x:c r="J5" s="72" t="n">
        <x:f>E5</x:f>
        <x:v>1500</x:v>
      </x:c>
    </x:row>
    <x:row r="6" ht="15" hidden="0" customHeight="1">
      <x:c r="A6" s="44" t="str">
        <x:v>W2</x:v>
      </x:c>
      <x:c r="B6" s="44" t="str">
        <x:v>Concept alternatives screened and selected</x:v>
      </x:c>
      <x:c r="C6" s="44" t="n">
        <x:f>COUNTIF('CTR Detail'!$C$6:$C$19,A6)</x:f>
        <x:v>1</x:v>
      </x:c>
      <x:c r="D6" s="45" t="n">
        <x:f>SUMIF('CTR Detail'!$C$6:$C$19,A6,'CTR Detail'!$F$6:$F$19)</x:f>
        <x:v>2200</x:v>
      </x:c>
      <x:c r="E6" s="45" t="n">
        <x:f>E5+D6</x:f>
        <x:v>3700</x:v>
      </x:c>
      <x:c r="F6" s="47" t="n">
        <x:f>E6/'CTR Summary'!$F$7</x:f>
        <x:v>0.12333333333333334</x:v>
      </x:c>
      <x:c r="G6" s="38"/>
      <x:c r="H6" s="71" t="str">
        <x:f>A6</x:f>
        <x:v>W2</x:v>
      </x:c>
      <x:c r="I6" s="72" t="n">
        <x:f>D6</x:f>
        <x:v>2200</x:v>
      </x:c>
      <x:c r="J6" s="72" t="n">
        <x:f>E6</x:f>
        <x:v>3700</x:v>
      </x:c>
    </x:row>
    <x:row r="7" ht="15" hidden="0" customHeight="1">
      <x:c r="A7" s="44" t="str">
        <x:v>W3</x:v>
      </x:c>
      <x:c r="B7" s="44" t="str">
        <x:v>Load screening and preliminary structural sizing complete</x:v>
      </x:c>
      <x:c r="C7" s="44" t="n">
        <x:f>COUNTIF('CTR Detail'!$C$6:$C$19,A7)</x:f>
        <x:v>2</x:v>
      </x:c>
      <x:c r="D7" s="45" t="n">
        <x:f>SUMIF('CTR Detail'!$C$6:$C$19,A7,'CTR Detail'!$F$6:$F$19)</x:f>
        <x:v>5000</x:v>
      </x:c>
      <x:c r="E7" s="45" t="n">
        <x:f>E6+D7</x:f>
        <x:v>8700</x:v>
      </x:c>
      <x:c r="F7" s="47" t="n">
        <x:f>E7/'CTR Summary'!$F$7</x:f>
        <x:v>0.29</x:v>
      </x:c>
      <x:c r="G7" s="38"/>
      <x:c r="H7" s="71" t="str">
        <x:f>A7</x:f>
        <x:v>W3</x:v>
      </x:c>
      <x:c r="I7" s="72" t="n">
        <x:f>D7</x:f>
        <x:v>5000</x:v>
      </x:c>
      <x:c r="J7" s="72" t="n">
        <x:f>E7</x:f>
        <x:v>8700</x:v>
      </x:c>
    </x:row>
    <x:row r="8" ht="15" hidden="0" customHeight="1">
      <x:c r="A8" s="44" t="str">
        <x:v>W4</x:v>
      </x:c>
      <x:c r="B8" s="44" t="str">
        <x:v>Foundation, GA, installation and navigation concepts complete</x:v>
      </x:c>
      <x:c r="C8" s="44" t="n">
        <x:f>COUNTIF('CTR Detail'!$C$6:$C$19,A8)</x:f>
        <x:v>4</x:v>
      </x:c>
      <x:c r="D8" s="45" t="n">
        <x:f>SUMIF('CTR Detail'!$C$6:$C$19,A8,'CTR Detail'!$F$6:$F$19)</x:f>
        <x:v>7700</x:v>
      </x:c>
      <x:c r="E8" s="45" t="n">
        <x:f>E7+D8</x:f>
        <x:v>16400</x:v>
      </x:c>
      <x:c r="F8" s="47" t="n">
        <x:f>E8/'CTR Summary'!$F$7</x:f>
        <x:v>0.5466666666666666</x:v>
      </x:c>
      <x:c r="G8" s="38"/>
      <x:c r="H8" s="71" t="str">
        <x:f>A8</x:f>
        <x:v>W4</x:v>
      </x:c>
      <x:c r="I8" s="72" t="n">
        <x:f>D8</x:f>
        <x:v>7700</x:v>
      </x:c>
      <x:c r="J8" s="72" t="n">
        <x:f>E8</x:f>
        <x:v>16400</x:v>
      </x:c>
    </x:row>
    <x:row r="9" ht="15" hidden="0" customHeight="1">
      <x:c r="A9" s="44" t="str">
        <x:v>W5</x:v>
      </x:c>
      <x:c r="B9" s="44" t="str">
        <x:v>Certification, EPC estimate, weight/CoG and CP strategy complete</x:v>
      </x:c>
      <x:c r="C9" s="44" t="n">
        <x:f>COUNTIF('CTR Detail'!$C$6:$C$19,A9)</x:f>
        <x:v>4</x:v>
      </x:c>
      <x:c r="D9" s="45" t="n">
        <x:f>SUMIF('CTR Detail'!$C$6:$C$19,A9,'CTR Detail'!$F$6:$F$19)</x:f>
        <x:v>7200</x:v>
      </x:c>
      <x:c r="E9" s="45" t="n">
        <x:f>E8+D9</x:f>
        <x:v>23600</x:v>
      </x:c>
      <x:c r="F9" s="47" t="n">
        <x:f>E9/'CTR Summary'!$F$7</x:f>
        <x:v>0.7866666666666666</x:v>
      </x:c>
      <x:c r="G9" s="38"/>
      <x:c r="H9" s="71" t="str">
        <x:f>A9</x:f>
        <x:v>W5</x:v>
      </x:c>
      <x:c r="I9" s="72" t="n">
        <x:f>D9</x:f>
        <x:v>7200</x:v>
      </x:c>
      <x:c r="J9" s="72" t="n">
        <x:f>E9</x:f>
        <x:v>23600</x:v>
      </x:c>
    </x:row>
    <x:row r="10" ht="15" hidden="0" customHeight="1">
      <x:c r="A10" s="48" t="str">
        <x:v>W6</x:v>
      </x:c>
      <x:c r="B10" s="48" t="str">
        <x:v>Bilingual consolidated report and controlled risk register issued</x:v>
      </x:c>
      <x:c r="C10" s="48" t="n">
        <x:f>COUNTIF('CTR Detail'!$C$6:$C$19,A10)</x:f>
        <x:v>2</x:v>
      </x:c>
      <x:c r="D10" s="49" t="n">
        <x:f>SUMIF('CTR Detail'!$C$6:$C$19,A10,'CTR Detail'!$F$6:$F$19)</x:f>
        <x:v>6400</x:v>
      </x:c>
      <x:c r="E10" s="49" t="n">
        <x:f>E9+D10</x:f>
        <x:v>30000</x:v>
      </x:c>
      <x:c r="F10" s="51" t="n">
        <x:f>E10/'CTR Summary'!$F$7</x:f>
        <x:v>1</x:v>
      </x:c>
      <x:c r="G10" s="38"/>
      <x:c r="H10" s="71" t="str">
        <x:f>A10</x:f>
        <x:v>W6</x:v>
      </x:c>
      <x:c r="I10" s="72" t="n">
        <x:f>D10</x:f>
        <x:v>6400</x:v>
      </x:c>
      <x:c r="J10" s="72" t="n">
        <x:f>E10</x:f>
        <x:v>30000</x:v>
      </x:c>
    </x:row>
    <x:row r="11">
      <x:c r="A11" s="52" t="str">
        <x:v>TOTAL</x:v>
      </x:c>
      <x:c r="B11" s="52" t="str"/>
      <x:c r="C11" s="52" t="n">
        <x:f>SUM(C5:C10)</x:f>
        <x:v>14</x:v>
      </x:c>
      <x:c r="D11" s="53" t="n">
        <x:f>SUM(D5:D10)</x:f>
        <x:v>30000</x:v>
      </x:c>
      <x:c r="E11" s="53" t="n">
        <x:f>E10</x:f>
        <x:v>30000</x:v>
      </x:c>
      <x:c r="F11" s="55" t="n">
        <x:f>F10</x:f>
        <x:v>1</x:v>
      </x:c>
      <x:c r="G11" s="38"/>
      <x:c r="H11" s="38"/>
      <x:c r="I11" s="38"/>
      <x:c r="J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52ecf3c9b6154e6e"/>
  <x:tableParts count="1">
    <x:tablePart xmlns:r="http://schemas.openxmlformats.org/officeDocument/2006/relationships" r:id="Rd5973c9f6ca34abd"/>
  </x:tableParts>
</x:worksheet>
</file>